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Лист3" sheetId="3" r:id="rId6"/>
  </sheets>
  <definedNames/>
  <calcPr/>
</workbook>
</file>

<file path=xl/sharedStrings.xml><?xml version="1.0" encoding="utf-8"?>
<sst xmlns="http://schemas.openxmlformats.org/spreadsheetml/2006/main" count="26" uniqueCount="13">
  <si>
    <t>Метод простой итерации</t>
  </si>
  <si>
    <t>А</t>
  </si>
  <si>
    <t>B</t>
  </si>
  <si>
    <t>точность</t>
  </si>
  <si>
    <t>x1</t>
  </si>
  <si>
    <t>x2</t>
  </si>
  <si>
    <t>x3</t>
  </si>
  <si>
    <t>е=</t>
  </si>
  <si>
    <t>номер итерации</t>
  </si>
  <si>
    <t>d1</t>
  </si>
  <si>
    <t>d2</t>
  </si>
  <si>
    <t>d3</t>
  </si>
  <si>
    <t>Условие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</si>
</sst>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9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FABF8F"/>
        <bgColor rgb="FFFABF8F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4" fillId="4" fontId="1" numFmtId="0" xfId="0" applyAlignment="1" applyBorder="1" applyFill="1" applyFont="1">
      <alignment horizontal="center"/>
    </xf>
    <xf borderId="4" fillId="5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/>
    </xf>
    <xf borderId="4" fillId="6" fontId="1" numFmtId="0" xfId="0" applyAlignment="1" applyBorder="1" applyFill="1" applyFont="1">
      <alignment horizontal="center"/>
    </xf>
    <xf borderId="4" fillId="5" fontId="1" numFmtId="0" xfId="0" applyAlignment="1" applyBorder="1" applyFont="1">
      <alignment horizontal="center" shrinkToFit="0" wrapText="1"/>
    </xf>
    <xf borderId="4" fillId="7" fontId="1" numFmtId="0" xfId="0" applyAlignment="1" applyBorder="1" applyFill="1" applyFont="1">
      <alignment horizontal="center"/>
    </xf>
    <xf borderId="4" fillId="0" fontId="1" numFmtId="164" xfId="0" applyAlignment="1" applyBorder="1" applyFont="1" applyNumberFormat="1">
      <alignment horizontal="center"/>
    </xf>
    <xf borderId="0" fillId="8" fontId="1" numFmtId="164" xfId="0" applyAlignment="1" applyFill="1" applyFont="1" applyNumberFormat="1">
      <alignment horizontal="center"/>
    </xf>
    <xf borderId="0" fillId="8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4" fillId="5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6" fontId="1" numFmtId="0" xfId="0" applyAlignment="1" applyBorder="1" applyFont="1">
      <alignment horizontal="center" vertical="center"/>
    </xf>
    <xf borderId="4" fillId="5" fontId="1" numFmtId="0" xfId="0" applyAlignment="1" applyBorder="1" applyFont="1">
      <alignment horizontal="center" shrinkToFit="0" vertical="center" wrapText="1"/>
    </xf>
    <xf borderId="4" fillId="7" fontId="1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1.43"/>
    <col customWidth="1" min="8" max="8" width="12.86"/>
    <col customWidth="1" min="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</row>
    <row r="2" ht="14.25" customHeight="1">
      <c r="A2" s="3" t="s">
        <v>1</v>
      </c>
      <c r="B2" s="4"/>
      <c r="C2" s="5"/>
      <c r="D2" s="6" t="s">
        <v>2</v>
      </c>
      <c r="E2" s="2"/>
      <c r="F2" s="2"/>
      <c r="G2" s="2"/>
      <c r="H2" s="2"/>
    </row>
    <row r="3" ht="14.25" customHeight="1">
      <c r="A3" s="7">
        <v>53.0</v>
      </c>
      <c r="B3" s="7">
        <v>-15.0</v>
      </c>
      <c r="C3" s="7">
        <v>-27.0</v>
      </c>
      <c r="D3" s="6">
        <v>-15.0</v>
      </c>
      <c r="E3" s="2"/>
      <c r="F3" s="2"/>
      <c r="G3" s="2"/>
      <c r="H3" s="2"/>
    </row>
    <row r="4" ht="14.25" customHeight="1">
      <c r="A4" s="7">
        <v>35.0</v>
      </c>
      <c r="B4" s="7">
        <v>-55.0</v>
      </c>
      <c r="C4" s="7">
        <v>11.0</v>
      </c>
      <c r="D4" s="6">
        <v>37.0</v>
      </c>
      <c r="E4" s="2"/>
      <c r="F4" s="2"/>
      <c r="G4" s="2"/>
      <c r="H4" s="2"/>
    </row>
    <row r="5" ht="14.25" customHeight="1">
      <c r="A5" s="7">
        <v>-26.0</v>
      </c>
      <c r="B5" s="7">
        <v>-17.0</v>
      </c>
      <c r="C5" s="7">
        <v>84.0</v>
      </c>
      <c r="D5" s="6">
        <v>31.0</v>
      </c>
      <c r="E5" s="2"/>
      <c r="F5" s="2"/>
      <c r="G5" s="2"/>
      <c r="H5" s="2"/>
    </row>
    <row r="6" ht="14.25" customHeight="1">
      <c r="A6" s="2"/>
      <c r="B6" s="2"/>
      <c r="C6" s="2"/>
      <c r="D6" s="2"/>
      <c r="E6" s="2"/>
      <c r="F6" s="2" t="s">
        <v>3</v>
      </c>
      <c r="G6" s="2"/>
      <c r="H6" s="2"/>
    </row>
    <row r="7" ht="14.25" customHeight="1">
      <c r="A7" s="8" t="s">
        <v>4</v>
      </c>
      <c r="B7" s="8" t="s">
        <v>5</v>
      </c>
      <c r="C7" s="8" t="s">
        <v>6</v>
      </c>
      <c r="D7" s="9"/>
      <c r="E7" s="9"/>
      <c r="F7" s="10" t="s">
        <v>7</v>
      </c>
      <c r="G7" s="10">
        <v>0.01</v>
      </c>
      <c r="H7" s="11" t="s">
        <v>8</v>
      </c>
    </row>
    <row r="8" ht="14.25" customHeight="1">
      <c r="A8" s="9">
        <v>0.0</v>
      </c>
      <c r="B8" s="9">
        <v>0.0</v>
      </c>
      <c r="C8" s="9">
        <v>0.0</v>
      </c>
      <c r="D8" s="8" t="s">
        <v>9</v>
      </c>
      <c r="E8" s="8" t="s">
        <v>10</v>
      </c>
      <c r="F8" s="8" t="s">
        <v>11</v>
      </c>
      <c r="G8" s="8" t="s">
        <v>12</v>
      </c>
      <c r="H8" s="12">
        <v>0.0</v>
      </c>
    </row>
    <row r="9" ht="14.25" customHeight="1">
      <c r="A9" s="13">
        <f t="shared" ref="A9:A18" si="2">($D$3-$B$3*B8-$C$3*C8)/$A$3</f>
        <v>-0.2830188679</v>
      </c>
      <c r="B9" s="13">
        <f t="shared" ref="B9:B18" si="3">($D$4-$A$4*A8-$C$4*C8)/$B$4</f>
        <v>-0.6727272727</v>
      </c>
      <c r="C9" s="13">
        <f t="shared" ref="C9:C18" si="4">($D$5-$A$5*A8-$B$5*B8)/$C$5</f>
        <v>0.369047619</v>
      </c>
      <c r="D9" s="13">
        <f t="shared" ref="D9:F9" si="1">ABS(A9-A8)</f>
        <v>0.2830188679</v>
      </c>
      <c r="E9" s="13">
        <f t="shared" si="1"/>
        <v>0.6727272727</v>
      </c>
      <c r="F9" s="13">
        <f t="shared" si="1"/>
        <v>0.369047619</v>
      </c>
      <c r="G9" s="9" t="str">
        <f t="shared" ref="G9:G18" si="6">IF(AND(D9&lt;$G$7,E9&lt;$G$7,F9&lt;$G$7),"выполнено","---")</f>
        <v>---</v>
      </c>
      <c r="H9" s="9">
        <v>1.0</v>
      </c>
    </row>
    <row r="10" ht="14.25" customHeight="1">
      <c r="A10" s="13">
        <f t="shared" si="2"/>
        <v>-0.2854079882</v>
      </c>
      <c r="B10" s="13">
        <f t="shared" si="3"/>
        <v>-0.7790206649</v>
      </c>
      <c r="C10" s="13">
        <f t="shared" si="4"/>
        <v>0.1452993547</v>
      </c>
      <c r="D10" s="13">
        <f t="shared" ref="D10:F10" si="5">ABS(A10-A9)</f>
        <v>0.002389120314</v>
      </c>
      <c r="E10" s="13">
        <f t="shared" si="5"/>
        <v>0.1062933921</v>
      </c>
      <c r="F10" s="13">
        <f t="shared" si="5"/>
        <v>0.2237482643</v>
      </c>
      <c r="G10" s="9" t="str">
        <f t="shared" si="6"/>
        <v>---</v>
      </c>
      <c r="H10" s="9">
        <v>2.0</v>
      </c>
    </row>
    <row r="11" ht="14.25" customHeight="1">
      <c r="A11" s="13">
        <f t="shared" si="2"/>
        <v>-0.4294759886</v>
      </c>
      <c r="B11" s="13">
        <f t="shared" si="3"/>
        <v>-0.825290667</v>
      </c>
      <c r="C11" s="13">
        <f t="shared" si="4"/>
        <v>0.1230481072</v>
      </c>
      <c r="D11" s="13">
        <f t="shared" ref="D11:F11" si="7">ABS(A11-A10)</f>
        <v>0.1440680004</v>
      </c>
      <c r="E11" s="13">
        <f t="shared" si="7"/>
        <v>0.04627000215</v>
      </c>
      <c r="F11" s="13">
        <f t="shared" si="7"/>
        <v>0.02225124755</v>
      </c>
      <c r="G11" s="9" t="str">
        <f t="shared" si="6"/>
        <v>---</v>
      </c>
      <c r="H11" s="9">
        <v>3.0</v>
      </c>
    </row>
    <row r="12" ht="14.25" customHeight="1">
      <c r="A12" s="13">
        <f t="shared" si="2"/>
        <v>-0.4539068134</v>
      </c>
      <c r="B12" s="13">
        <f t="shared" si="3"/>
        <v>-0.9214205531</v>
      </c>
      <c r="C12" s="13">
        <f t="shared" si="4"/>
        <v>0.06909146378</v>
      </c>
      <c r="D12" s="13">
        <f t="shared" ref="D12:F12" si="8">ABS(A12-A11)</f>
        <v>0.02443082484</v>
      </c>
      <c r="E12" s="13">
        <f t="shared" si="8"/>
        <v>0.0961298861</v>
      </c>
      <c r="F12" s="13">
        <f t="shared" si="8"/>
        <v>0.0539566434</v>
      </c>
      <c r="G12" s="9" t="str">
        <f t="shared" si="6"/>
        <v>---</v>
      </c>
      <c r="H12" s="9">
        <v>4.0</v>
      </c>
    </row>
    <row r="13" ht="14.25" customHeight="1">
      <c r="A13" s="13">
        <f t="shared" si="2"/>
        <v>-0.5086007316</v>
      </c>
      <c r="B13" s="13">
        <f t="shared" si="3"/>
        <v>-0.9477587703</v>
      </c>
      <c r="C13" s="13">
        <f t="shared" si="4"/>
        <v>0.0420746839</v>
      </c>
      <c r="D13" s="13">
        <f t="shared" ref="D13:F13" si="9">ABS(A13-A12)</f>
        <v>0.05469391818</v>
      </c>
      <c r="E13" s="13">
        <f t="shared" si="9"/>
        <v>0.02633821721</v>
      </c>
      <c r="F13" s="13">
        <f t="shared" si="9"/>
        <v>0.02701677987</v>
      </c>
      <c r="G13" s="9" t="str">
        <f t="shared" si="6"/>
        <v>---</v>
      </c>
      <c r="H13" s="9">
        <v>5.0</v>
      </c>
    </row>
    <row r="14" ht="14.25" customHeight="1">
      <c r="A14" s="13">
        <f t="shared" si="2"/>
        <v>-0.5298182092</v>
      </c>
      <c r="B14" s="13">
        <f t="shared" si="3"/>
        <v>-0.987967347</v>
      </c>
      <c r="C14" s="13">
        <f t="shared" si="4"/>
        <v>0.01981526051</v>
      </c>
      <c r="D14" s="13">
        <f t="shared" ref="D14:F14" si="10">ABS(A14-A13)</f>
        <v>0.02121747764</v>
      </c>
      <c r="E14" s="13">
        <f t="shared" si="10"/>
        <v>0.04020857663</v>
      </c>
      <c r="F14" s="13">
        <f t="shared" si="10"/>
        <v>0.02225942339</v>
      </c>
      <c r="G14" s="9" t="str">
        <f t="shared" si="6"/>
        <v>---</v>
      </c>
      <c r="H14" s="9">
        <v>6.0</v>
      </c>
    </row>
    <row r="15" ht="14.25" customHeight="1">
      <c r="A15" s="13">
        <f t="shared" si="2"/>
        <v>-0.5525377013</v>
      </c>
      <c r="B15" s="13">
        <f t="shared" si="3"/>
        <v>-1.005921263</v>
      </c>
      <c r="C15" s="13">
        <f t="shared" si="4"/>
        <v>0.005110495969</v>
      </c>
      <c r="D15" s="13">
        <f t="shared" ref="D15:F15" si="11">ABS(A15-A14)</f>
        <v>0.0227194921</v>
      </c>
      <c r="E15" s="13">
        <f t="shared" si="11"/>
        <v>0.0179539159</v>
      </c>
      <c r="F15" s="13">
        <f t="shared" si="11"/>
        <v>0.01470476454</v>
      </c>
      <c r="G15" s="9" t="str">
        <f t="shared" si="6"/>
        <v>---</v>
      </c>
      <c r="H15" s="9">
        <v>7.0</v>
      </c>
    </row>
    <row r="16" ht="14.25" customHeight="1">
      <c r="A16" s="13">
        <f t="shared" si="2"/>
        <v>-0.5651101048</v>
      </c>
      <c r="B16" s="13">
        <f t="shared" si="3"/>
        <v>-1.023320074</v>
      </c>
      <c r="C16" s="13">
        <f t="shared" si="4"/>
        <v>-0.005555258375</v>
      </c>
      <c r="D16" s="13">
        <f t="shared" ref="D16:F16" si="12">ABS(A16-A15)</f>
        <v>0.01257240342</v>
      </c>
      <c r="E16" s="13">
        <f t="shared" si="12"/>
        <v>0.01739881152</v>
      </c>
      <c r="F16" s="13">
        <f t="shared" si="12"/>
        <v>0.01066575434</v>
      </c>
      <c r="G16" s="9" t="str">
        <f t="shared" si="6"/>
        <v>---</v>
      </c>
      <c r="H16" s="9">
        <v>8.0</v>
      </c>
    </row>
    <row r="17" ht="14.25" customHeight="1">
      <c r="A17" s="13">
        <f t="shared" si="2"/>
        <v>-0.5754677942</v>
      </c>
      <c r="B17" s="13">
        <f t="shared" si="3"/>
        <v>-1.033453846</v>
      </c>
      <c r="C17" s="13">
        <f t="shared" si="4"/>
        <v>-0.01296790462</v>
      </c>
      <c r="D17" s="13">
        <f t="shared" ref="D17:F17" si="13">ABS(A17-A16)</f>
        <v>0.01035768943</v>
      </c>
      <c r="E17" s="13">
        <f t="shared" si="13"/>
        <v>0.01013377123</v>
      </c>
      <c r="F17" s="13">
        <f t="shared" si="13"/>
        <v>0.007412646245</v>
      </c>
      <c r="G17" s="9" t="str">
        <f t="shared" si="6"/>
        <v>---</v>
      </c>
      <c r="H17" s="9">
        <v>9.0</v>
      </c>
    </row>
    <row r="18" ht="14.25" customHeight="1">
      <c r="A18" s="13">
        <f t="shared" si="2"/>
        <v>-0.5821120964</v>
      </c>
      <c r="B18" s="13">
        <f t="shared" si="3"/>
        <v>-1.041527632</v>
      </c>
      <c r="C18" s="13">
        <f t="shared" si="4"/>
        <v>-0.01822473838</v>
      </c>
      <c r="D18" s="13">
        <f t="shared" ref="D18:F18" si="14">ABS(A18-A17)</f>
        <v>0.006644302207</v>
      </c>
      <c r="E18" s="13">
        <f t="shared" si="14"/>
        <v>0.008073786162</v>
      </c>
      <c r="F18" s="13">
        <f t="shared" si="14"/>
        <v>0.005256833763</v>
      </c>
      <c r="G18" s="9" t="str">
        <f t="shared" si="6"/>
        <v>выполнено</v>
      </c>
      <c r="H18" s="9">
        <v>10.0</v>
      </c>
    </row>
    <row r="19" ht="14.25" customHeight="1">
      <c r="A19" s="14"/>
      <c r="B19" s="14"/>
      <c r="C19" s="14"/>
      <c r="D19" s="14"/>
      <c r="E19" s="14"/>
      <c r="F19" s="14"/>
      <c r="G19" s="15"/>
      <c r="H19" s="15"/>
    </row>
    <row r="20" ht="14.25" customHeight="1">
      <c r="A20" s="14"/>
      <c r="B20" s="14"/>
      <c r="C20" s="14"/>
      <c r="D20" s="14"/>
      <c r="E20" s="14"/>
      <c r="F20" s="14"/>
      <c r="G20" s="15"/>
      <c r="H20" s="15"/>
    </row>
    <row r="21" ht="14.25" customHeight="1">
      <c r="A21" s="14"/>
      <c r="B21" s="14"/>
      <c r="C21" s="14"/>
      <c r="D21" s="14"/>
      <c r="E21" s="14"/>
      <c r="F21" s="14"/>
      <c r="G21" s="15"/>
      <c r="H21" s="15"/>
    </row>
    <row r="22" ht="14.25" customHeight="1">
      <c r="A22" s="14"/>
      <c r="B22" s="14"/>
      <c r="C22" s="14"/>
      <c r="D22" s="14"/>
      <c r="E22" s="14"/>
      <c r="F22" s="14"/>
      <c r="G22" s="15"/>
      <c r="H22" s="15"/>
    </row>
    <row r="23" ht="14.25" customHeight="1">
      <c r="A23" s="14"/>
      <c r="B23" s="14"/>
      <c r="C23" s="14"/>
      <c r="D23" s="14"/>
      <c r="E23" s="14"/>
      <c r="F23" s="14"/>
      <c r="G23" s="15"/>
      <c r="H23" s="15"/>
    </row>
    <row r="24" ht="14.25" customHeight="1">
      <c r="A24" s="14"/>
      <c r="B24" s="14"/>
      <c r="C24" s="14"/>
      <c r="D24" s="14"/>
      <c r="E24" s="14"/>
      <c r="F24" s="14"/>
      <c r="G24" s="15"/>
      <c r="H24" s="15"/>
    </row>
    <row r="25" ht="14.25" customHeight="1">
      <c r="A25" s="14"/>
      <c r="B25" s="14"/>
      <c r="C25" s="14"/>
      <c r="D25" s="14"/>
      <c r="E25" s="14"/>
      <c r="F25" s="14"/>
      <c r="G25" s="15"/>
      <c r="H25" s="15"/>
    </row>
    <row r="26" ht="14.25" customHeight="1">
      <c r="A26" s="14"/>
      <c r="B26" s="14"/>
      <c r="C26" s="14"/>
      <c r="D26" s="14"/>
      <c r="E26" s="14"/>
      <c r="F26" s="14"/>
      <c r="G26" s="15"/>
      <c r="H26" s="15"/>
    </row>
    <row r="27" ht="14.25" customHeight="1">
      <c r="A27" s="14"/>
      <c r="B27" s="14"/>
      <c r="C27" s="14"/>
      <c r="D27" s="14"/>
      <c r="E27" s="14"/>
      <c r="F27" s="14"/>
      <c r="G27" s="15"/>
      <c r="H27" s="15"/>
    </row>
    <row r="28" ht="14.25" customHeight="1">
      <c r="A28" s="14"/>
      <c r="B28" s="14"/>
      <c r="C28" s="14"/>
      <c r="D28" s="14"/>
      <c r="E28" s="14"/>
      <c r="F28" s="14"/>
      <c r="G28" s="15"/>
      <c r="H28" s="15"/>
    </row>
    <row r="29" ht="14.25" customHeight="1">
      <c r="A29" s="14"/>
      <c r="B29" s="14"/>
      <c r="C29" s="14"/>
      <c r="D29" s="14"/>
      <c r="E29" s="14"/>
      <c r="F29" s="14"/>
      <c r="G29" s="15"/>
      <c r="H29" s="15"/>
    </row>
    <row r="30" ht="14.25" customHeight="1">
      <c r="A30" s="14"/>
      <c r="B30" s="14"/>
      <c r="C30" s="14"/>
      <c r="D30" s="14"/>
      <c r="E30" s="14"/>
      <c r="F30" s="14"/>
      <c r="G30" s="15"/>
      <c r="H30" s="15"/>
    </row>
    <row r="31" ht="14.25" customHeight="1">
      <c r="A31" s="14"/>
      <c r="B31" s="14"/>
      <c r="C31" s="14"/>
      <c r="D31" s="14"/>
      <c r="E31" s="14"/>
      <c r="F31" s="14"/>
      <c r="G31" s="15"/>
      <c r="H31" s="15"/>
    </row>
    <row r="32" ht="14.25" customHeight="1">
      <c r="A32" s="14"/>
      <c r="B32" s="14"/>
      <c r="C32" s="14"/>
      <c r="D32" s="14"/>
      <c r="E32" s="14"/>
      <c r="F32" s="14"/>
      <c r="G32" s="15"/>
      <c r="H32" s="15"/>
    </row>
    <row r="33" ht="14.25" customHeight="1">
      <c r="A33" s="16"/>
      <c r="B33" s="16"/>
      <c r="C33" s="16"/>
      <c r="D33" s="16"/>
      <c r="E33" s="16"/>
      <c r="F33" s="16"/>
      <c r="G33" s="2"/>
      <c r="H33" s="2"/>
    </row>
    <row r="34" ht="14.25" customHeight="1">
      <c r="A34" s="16"/>
      <c r="B34" s="16"/>
      <c r="C34" s="16"/>
      <c r="D34" s="16"/>
      <c r="E34" s="16"/>
      <c r="F34" s="16"/>
      <c r="G34" s="2"/>
      <c r="H34" s="2"/>
    </row>
    <row r="35" ht="14.25" customHeight="1">
      <c r="A35" s="16"/>
      <c r="B35" s="16"/>
      <c r="C35" s="16"/>
      <c r="D35" s="16"/>
      <c r="E35" s="16"/>
      <c r="F35" s="16"/>
      <c r="G35" s="2"/>
      <c r="H35" s="2"/>
    </row>
    <row r="36" ht="14.25" customHeight="1">
      <c r="A36" s="16"/>
      <c r="B36" s="16"/>
      <c r="C36" s="16"/>
      <c r="D36" s="16"/>
      <c r="E36" s="16"/>
      <c r="F36" s="16"/>
      <c r="G36" s="2"/>
      <c r="H36" s="2"/>
    </row>
    <row r="37" ht="14.25" customHeight="1">
      <c r="A37" s="16"/>
      <c r="B37" s="16"/>
      <c r="C37" s="16"/>
      <c r="D37" s="16"/>
      <c r="E37" s="16"/>
      <c r="F37" s="16"/>
      <c r="G37" s="2"/>
      <c r="H37" s="2"/>
    </row>
    <row r="38" ht="14.25" customHeight="1">
      <c r="A38" s="16"/>
      <c r="B38" s="16"/>
      <c r="C38" s="16"/>
      <c r="D38" s="16"/>
      <c r="E38" s="16"/>
      <c r="F38" s="16"/>
      <c r="G38" s="2"/>
      <c r="H38" s="2"/>
    </row>
    <row r="39" ht="14.25" customHeight="1">
      <c r="A39" s="16"/>
      <c r="B39" s="16"/>
      <c r="C39" s="16"/>
      <c r="D39" s="16"/>
      <c r="E39" s="16"/>
      <c r="F39" s="16"/>
      <c r="G39" s="2"/>
      <c r="H39" s="2"/>
    </row>
    <row r="40" ht="14.25" customHeight="1">
      <c r="A40" s="16"/>
      <c r="B40" s="16"/>
      <c r="C40" s="16"/>
      <c r="D40" s="16"/>
      <c r="E40" s="16"/>
      <c r="F40" s="16"/>
      <c r="G40" s="2"/>
      <c r="H40" s="2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>
      <c r="A55" s="16"/>
      <c r="B55" s="16"/>
      <c r="C55" s="16"/>
      <c r="D55" s="16"/>
      <c r="E55" s="16"/>
      <c r="F55" s="16"/>
      <c r="G55" s="2"/>
      <c r="H55" s="2"/>
    </row>
    <row r="56" ht="14.25" customHeight="1">
      <c r="A56" s="16"/>
      <c r="B56" s="16"/>
      <c r="C56" s="16"/>
      <c r="D56" s="16"/>
      <c r="E56" s="16"/>
      <c r="F56" s="16"/>
      <c r="G56" s="2"/>
      <c r="H56" s="2"/>
    </row>
    <row r="57" ht="14.25" customHeight="1">
      <c r="A57" s="16"/>
      <c r="B57" s="16"/>
      <c r="C57" s="16"/>
      <c r="D57" s="16"/>
      <c r="E57" s="16"/>
      <c r="F57" s="16"/>
      <c r="G57" s="2"/>
      <c r="H57" s="2"/>
    </row>
    <row r="58" ht="14.25" customHeight="1">
      <c r="A58" s="16"/>
      <c r="B58" s="16"/>
      <c r="C58" s="16"/>
      <c r="D58" s="16"/>
      <c r="E58" s="16"/>
      <c r="F58" s="16"/>
      <c r="G58" s="2"/>
      <c r="H58" s="2"/>
    </row>
    <row r="59" ht="14.25" customHeight="1">
      <c r="A59" s="16"/>
      <c r="B59" s="16"/>
      <c r="C59" s="16"/>
      <c r="D59" s="16"/>
      <c r="E59" s="16"/>
      <c r="F59" s="16"/>
      <c r="G59" s="2"/>
      <c r="H59" s="2"/>
    </row>
    <row r="60" ht="14.25" customHeight="1">
      <c r="A60" s="16"/>
      <c r="B60" s="16"/>
      <c r="C60" s="16"/>
      <c r="D60" s="16"/>
      <c r="E60" s="16"/>
      <c r="F60" s="16"/>
      <c r="G60" s="2"/>
      <c r="H60" s="2"/>
    </row>
    <row r="61" ht="14.25" customHeight="1">
      <c r="A61" s="16"/>
      <c r="B61" s="16"/>
      <c r="C61" s="16"/>
      <c r="D61" s="16"/>
      <c r="E61" s="16"/>
      <c r="F61" s="16"/>
      <c r="G61" s="2"/>
      <c r="H61" s="2"/>
    </row>
    <row r="62" ht="14.25" customHeight="1">
      <c r="A62" s="16"/>
      <c r="B62" s="16"/>
      <c r="C62" s="16"/>
      <c r="D62" s="16"/>
      <c r="E62" s="16"/>
      <c r="F62" s="16"/>
      <c r="G62" s="2"/>
      <c r="H62" s="2"/>
    </row>
    <row r="63" ht="14.25" customHeight="1">
      <c r="A63" s="16"/>
      <c r="B63" s="16"/>
      <c r="C63" s="16"/>
      <c r="D63" s="16"/>
      <c r="E63" s="16"/>
      <c r="F63" s="16"/>
      <c r="G63" s="2"/>
      <c r="H63" s="2"/>
    </row>
    <row r="64" ht="14.25" customHeight="1">
      <c r="A64" s="16"/>
      <c r="B64" s="16"/>
      <c r="C64" s="16"/>
      <c r="D64" s="16"/>
      <c r="E64" s="16"/>
      <c r="F64" s="16"/>
      <c r="G64" s="2"/>
      <c r="H64" s="2"/>
    </row>
    <row r="65" ht="14.25" customHeight="1">
      <c r="A65" s="16"/>
      <c r="B65" s="16"/>
      <c r="C65" s="16"/>
      <c r="D65" s="16"/>
      <c r="E65" s="16"/>
      <c r="F65" s="16"/>
      <c r="G65" s="2"/>
      <c r="H65" s="2"/>
    </row>
    <row r="66" ht="14.25" customHeight="1">
      <c r="A66" s="16"/>
      <c r="B66" s="16"/>
      <c r="C66" s="16"/>
      <c r="D66" s="16"/>
      <c r="E66" s="16"/>
      <c r="F66" s="16"/>
      <c r="G66" s="2"/>
      <c r="H66" s="2"/>
    </row>
    <row r="67" ht="14.25" customHeight="1">
      <c r="A67" s="16"/>
      <c r="B67" s="16"/>
      <c r="C67" s="16"/>
      <c r="D67" s="16"/>
      <c r="E67" s="16"/>
      <c r="F67" s="16"/>
      <c r="G67" s="2"/>
      <c r="H67" s="2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C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1.14"/>
    <col customWidth="1" min="8" max="8" width="9.43"/>
    <col customWidth="1" min="9" max="26" width="8.71"/>
  </cols>
  <sheetData>
    <row r="1" ht="14.25" customHeight="1">
      <c r="A1" s="2" t="s">
        <v>0</v>
      </c>
      <c r="B1" s="2"/>
      <c r="C1" s="2"/>
      <c r="D1" s="2"/>
      <c r="E1" s="2"/>
      <c r="F1" s="2"/>
      <c r="G1" s="2"/>
      <c r="H1" s="2"/>
    </row>
    <row r="2" ht="14.25" customHeight="1">
      <c r="A2" s="3" t="s">
        <v>1</v>
      </c>
      <c r="B2" s="4"/>
      <c r="C2" s="5"/>
      <c r="D2" s="6" t="s">
        <v>2</v>
      </c>
      <c r="E2" s="2"/>
      <c r="F2" s="2"/>
      <c r="G2" s="2"/>
      <c r="H2" s="2"/>
    </row>
    <row r="3" ht="14.25" customHeight="1">
      <c r="A3" s="7">
        <v>53.0</v>
      </c>
      <c r="B3" s="7">
        <v>-15.0</v>
      </c>
      <c r="C3" s="7">
        <v>-27.0</v>
      </c>
      <c r="D3" s="6">
        <v>-15.0</v>
      </c>
      <c r="E3" s="2"/>
      <c r="F3" s="2"/>
      <c r="G3" s="2"/>
      <c r="H3" s="2"/>
    </row>
    <row r="4" ht="14.25" customHeight="1">
      <c r="A4" s="7">
        <v>35.0</v>
      </c>
      <c r="B4" s="7">
        <v>-55.0</v>
      </c>
      <c r="C4" s="7">
        <v>11.0</v>
      </c>
      <c r="D4" s="6">
        <v>37.0</v>
      </c>
      <c r="E4" s="2"/>
      <c r="F4" s="2"/>
      <c r="G4" s="2"/>
      <c r="H4" s="2"/>
    </row>
    <row r="5" ht="14.25" customHeight="1">
      <c r="A5" s="7">
        <v>-26.0</v>
      </c>
      <c r="B5" s="7">
        <v>-17.0</v>
      </c>
      <c r="C5" s="7">
        <v>84.0</v>
      </c>
      <c r="D5" s="6">
        <v>31.0</v>
      </c>
      <c r="E5" s="2"/>
      <c r="F5" s="2"/>
      <c r="G5" s="2"/>
      <c r="H5" s="2"/>
    </row>
    <row r="6" ht="14.25" customHeight="1">
      <c r="A6" s="2"/>
      <c r="B6" s="2"/>
      <c r="C6" s="2"/>
      <c r="D6" s="2"/>
      <c r="E6" s="2"/>
      <c r="F6" s="9" t="s">
        <v>3</v>
      </c>
      <c r="G6" s="2"/>
      <c r="H6" s="2"/>
    </row>
    <row r="7" ht="14.25" customHeight="1">
      <c r="A7" s="17" t="s">
        <v>4</v>
      </c>
      <c r="B7" s="17" t="s">
        <v>5</v>
      </c>
      <c r="C7" s="17" t="s">
        <v>6</v>
      </c>
      <c r="D7" s="18"/>
      <c r="E7" s="18"/>
      <c r="F7" s="19" t="s">
        <v>7</v>
      </c>
      <c r="G7" s="19">
        <v>0.01</v>
      </c>
      <c r="H7" s="20" t="s">
        <v>8</v>
      </c>
    </row>
    <row r="8" ht="14.25" customHeight="1">
      <c r="A8" s="18">
        <v>0.0</v>
      </c>
      <c r="B8" s="18">
        <v>0.0</v>
      </c>
      <c r="C8" s="18">
        <v>0.0</v>
      </c>
      <c r="D8" s="17" t="s">
        <v>9</v>
      </c>
      <c r="E8" s="17" t="s">
        <v>10</v>
      </c>
      <c r="F8" s="17" t="s">
        <v>11</v>
      </c>
      <c r="G8" s="17" t="s">
        <v>12</v>
      </c>
      <c r="H8" s="21">
        <v>0.0</v>
      </c>
    </row>
    <row r="9" ht="14.25" customHeight="1">
      <c r="A9" s="22">
        <f t="shared" ref="A9:A14" si="2">($D$3-$B$3*B8-$C$3*C8)/$A$3</f>
        <v>-0.2830188679</v>
      </c>
      <c r="B9" s="22">
        <f t="shared" ref="B9:B14" si="3">($D$4-$A$4*A9-$C$4*C8)/$B$4</f>
        <v>-0.8528301887</v>
      </c>
      <c r="C9" s="22">
        <f t="shared" ref="C9:C14" si="4">($D$5-$A$5*A9-$B$5*B9)/$C$5</f>
        <v>0.1088499551</v>
      </c>
      <c r="D9" s="22">
        <f t="shared" ref="D9:F9" si="1">ABS(A9-A8)</f>
        <v>0.2830188679</v>
      </c>
      <c r="E9" s="22">
        <f t="shared" si="1"/>
        <v>0.8528301887</v>
      </c>
      <c r="F9" s="22">
        <f t="shared" si="1"/>
        <v>0.1088499551</v>
      </c>
      <c r="G9" s="18" t="str">
        <f t="shared" ref="G9:G14" si="6">IF(AND(D9&lt;$G$7,E9&lt;$G$7,F9&lt;$G$7),"выполнено","---")</f>
        <v>---</v>
      </c>
      <c r="H9" s="18">
        <v>1.0</v>
      </c>
    </row>
    <row r="10" ht="14.25" customHeight="1">
      <c r="A10" s="22">
        <f t="shared" si="2"/>
        <v>-0.4689340385</v>
      </c>
      <c r="B10" s="22">
        <f t="shared" si="3"/>
        <v>-0.9493698517</v>
      </c>
      <c r="C10" s="22">
        <f t="shared" si="4"/>
        <v>0.03176699427</v>
      </c>
      <c r="D10" s="22">
        <f t="shared" ref="D10:F10" si="5">ABS(A10-A9)</f>
        <v>0.1859151706</v>
      </c>
      <c r="E10" s="22">
        <f t="shared" si="5"/>
        <v>0.09653966302</v>
      </c>
      <c r="F10" s="22">
        <f t="shared" si="5"/>
        <v>0.0770829608</v>
      </c>
      <c r="G10" s="18" t="str">
        <f t="shared" si="6"/>
        <v>---</v>
      </c>
      <c r="H10" s="18">
        <v>2.0</v>
      </c>
    </row>
    <row r="11" ht="14.25" customHeight="1">
      <c r="A11" s="22">
        <f t="shared" si="2"/>
        <v>-0.5355252628</v>
      </c>
      <c r="B11" s="22">
        <f t="shared" si="3"/>
        <v>-1.007162677</v>
      </c>
      <c r="C11" s="22">
        <f t="shared" si="4"/>
        <v>-0.0005407422743</v>
      </c>
      <c r="D11" s="22">
        <f t="shared" ref="D11:F11" si="7">ABS(A11-A10)</f>
        <v>0.06659122428</v>
      </c>
      <c r="E11" s="22">
        <f t="shared" si="7"/>
        <v>0.0577928258</v>
      </c>
      <c r="F11" s="22">
        <f t="shared" si="7"/>
        <v>0.03230773655</v>
      </c>
      <c r="G11" s="18" t="str">
        <f t="shared" si="6"/>
        <v>---</v>
      </c>
      <c r="H11" s="18">
        <v>3.0</v>
      </c>
    </row>
    <row r="12" ht="14.25" customHeight="1">
      <c r="A12" s="22">
        <f t="shared" si="2"/>
        <v>-0.5683403812</v>
      </c>
      <c r="B12" s="22">
        <f t="shared" si="3"/>
        <v>-1.034506573</v>
      </c>
      <c r="C12" s="22">
        <f t="shared" si="4"/>
        <v>-0.01623168631</v>
      </c>
      <c r="D12" s="22">
        <f t="shared" ref="D12:F12" si="8">ABS(A12-A11)</f>
        <v>0.03281511837</v>
      </c>
      <c r="E12" s="22">
        <f t="shared" si="8"/>
        <v>0.02734389536</v>
      </c>
      <c r="F12" s="22">
        <f t="shared" si="8"/>
        <v>0.01569094403</v>
      </c>
      <c r="G12" s="18" t="str">
        <f t="shared" si="6"/>
        <v>---</v>
      </c>
      <c r="H12" s="18">
        <v>4.0</v>
      </c>
    </row>
    <row r="13" ht="14.25" customHeight="1">
      <c r="A13" s="22">
        <f t="shared" si="2"/>
        <v>-0.5840727193</v>
      </c>
      <c r="B13" s="22">
        <f t="shared" si="3"/>
        <v>-1.04765625</v>
      </c>
      <c r="C13" s="22">
        <f t="shared" si="4"/>
        <v>-0.02376246362</v>
      </c>
      <c r="D13" s="22">
        <f t="shared" ref="D13:F13" si="9">ABS(A13-A12)</f>
        <v>0.0157323381</v>
      </c>
      <c r="E13" s="22">
        <f t="shared" si="9"/>
        <v>0.01314967669</v>
      </c>
      <c r="F13" s="22">
        <f t="shared" si="9"/>
        <v>0.007530777314</v>
      </c>
      <c r="G13" s="18" t="str">
        <f t="shared" si="6"/>
        <v>---</v>
      </c>
      <c r="H13" s="18">
        <v>5.0</v>
      </c>
    </row>
    <row r="14" ht="14.25" customHeight="1">
      <c r="A14" s="22">
        <f t="shared" si="2"/>
        <v>-0.5916307596</v>
      </c>
      <c r="B14" s="22">
        <f t="shared" si="3"/>
        <v>-1.053972067</v>
      </c>
      <c r="C14" s="22">
        <f t="shared" si="4"/>
        <v>-0.02738005822</v>
      </c>
      <c r="D14" s="22">
        <f t="shared" ref="D14:F14" si="10">ABS(A14-A13)</f>
        <v>0.007558040336</v>
      </c>
      <c r="E14" s="22">
        <f t="shared" si="10"/>
        <v>0.006315817495</v>
      </c>
      <c r="F14" s="22">
        <f t="shared" si="10"/>
        <v>0.003617594597</v>
      </c>
      <c r="G14" s="18" t="str">
        <f t="shared" si="6"/>
        <v>выполнено</v>
      </c>
      <c r="H14" s="18">
        <v>6.0</v>
      </c>
    </row>
    <row r="15" ht="14.25" customHeight="1">
      <c r="A15" s="16"/>
      <c r="B15" s="16"/>
      <c r="C15" s="16"/>
      <c r="D15" s="16"/>
      <c r="E15" s="16"/>
      <c r="F15" s="16"/>
      <c r="G15" s="2"/>
      <c r="H15" s="2"/>
    </row>
    <row r="16" ht="14.25" customHeight="1">
      <c r="A16" s="16"/>
      <c r="B16" s="16"/>
      <c r="C16" s="16"/>
      <c r="D16" s="16"/>
      <c r="E16" s="16"/>
      <c r="F16" s="16"/>
      <c r="G16" s="2"/>
      <c r="H16" s="2"/>
    </row>
    <row r="17" ht="14.25" customHeight="1">
      <c r="A17" s="16"/>
      <c r="B17" s="16"/>
      <c r="C17" s="16"/>
      <c r="D17" s="16"/>
      <c r="E17" s="16"/>
      <c r="F17" s="16"/>
      <c r="G17" s="2"/>
      <c r="H17" s="2"/>
    </row>
    <row r="18" ht="14.25" customHeight="1">
      <c r="A18" s="16"/>
      <c r="B18" s="16"/>
      <c r="C18" s="16"/>
      <c r="D18" s="16"/>
      <c r="E18" s="16"/>
      <c r="F18" s="16"/>
      <c r="G18" s="2"/>
      <c r="H18" s="2"/>
    </row>
    <row r="19" ht="14.25" customHeight="1">
      <c r="A19" s="16"/>
      <c r="B19" s="16"/>
      <c r="C19" s="16"/>
      <c r="D19" s="16"/>
      <c r="E19" s="16"/>
      <c r="F19" s="16"/>
      <c r="G19" s="2"/>
      <c r="H19" s="2"/>
    </row>
    <row r="20" ht="14.25" customHeight="1">
      <c r="A20" s="16"/>
      <c r="B20" s="16"/>
      <c r="C20" s="16"/>
      <c r="D20" s="16"/>
      <c r="E20" s="16"/>
      <c r="F20" s="16"/>
      <c r="G20" s="2"/>
      <c r="H20" s="2"/>
    </row>
    <row r="21" ht="14.25" customHeight="1">
      <c r="A21" s="16"/>
      <c r="B21" s="16"/>
      <c r="C21" s="16"/>
      <c r="D21" s="16"/>
      <c r="E21" s="16"/>
      <c r="F21" s="16"/>
      <c r="G21" s="2"/>
      <c r="H21" s="2"/>
    </row>
    <row r="22" ht="14.25" customHeight="1">
      <c r="A22" s="16"/>
      <c r="B22" s="16"/>
      <c r="C22" s="16"/>
      <c r="D22" s="16"/>
      <c r="E22" s="16"/>
      <c r="F22" s="16"/>
      <c r="G22" s="2"/>
      <c r="H22" s="2"/>
    </row>
    <row r="23" ht="14.25" customHeight="1">
      <c r="A23" s="16"/>
      <c r="B23" s="16"/>
      <c r="C23" s="16"/>
      <c r="D23" s="16"/>
      <c r="E23" s="16"/>
      <c r="F23" s="16"/>
      <c r="G23" s="2"/>
      <c r="H23" s="2"/>
    </row>
    <row r="24" ht="14.25" customHeight="1">
      <c r="A24" s="16"/>
      <c r="B24" s="16"/>
      <c r="C24" s="16"/>
      <c r="D24" s="16"/>
      <c r="E24" s="16"/>
      <c r="F24" s="16"/>
      <c r="G24" s="2"/>
      <c r="H24" s="2"/>
    </row>
    <row r="25" ht="14.25" customHeight="1">
      <c r="A25" s="16"/>
      <c r="B25" s="16"/>
      <c r="C25" s="16"/>
      <c r="D25" s="16"/>
      <c r="E25" s="16"/>
      <c r="F25" s="16"/>
      <c r="G25" s="2"/>
      <c r="H25" s="2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C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