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4" sheetId="2" r:id="rId5"/>
  </sheets>
  <definedNames/>
  <calcPr/>
</workbook>
</file>

<file path=xl/sharedStrings.xml><?xml version="1.0" encoding="utf-8"?>
<sst xmlns="http://schemas.openxmlformats.org/spreadsheetml/2006/main" count="16" uniqueCount="13">
  <si>
    <t>a</t>
  </si>
  <si>
    <t>b</t>
  </si>
  <si>
    <t>x</t>
  </si>
  <si>
    <t>b-a</t>
  </si>
  <si>
    <t>F(a)</t>
  </si>
  <si>
    <t>F(b)</t>
  </si>
  <si>
    <t>F(x)</t>
  </si>
  <si>
    <t>k</t>
  </si>
  <si>
    <t>f(x)</t>
  </si>
  <si>
    <t>M</t>
  </si>
  <si>
    <t>Погрешность</t>
  </si>
  <si>
    <t>УСЛОВИЕ</t>
  </si>
  <si>
    <t>e=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</si>
</sst>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0.0000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1" fillId="0" fontId="1" numFmtId="165" xfId="0" applyAlignment="1" applyBorder="1" applyFont="1" applyNumberFormat="1">
      <alignment horizontal="center"/>
    </xf>
    <xf borderId="1" fillId="3" fontId="1" numFmtId="165" xfId="0" applyAlignment="1" applyBorder="1" applyFill="1" applyFont="1" applyNumberFormat="1">
      <alignment horizontal="center"/>
    </xf>
    <xf borderId="1" fillId="0" fontId="1" numFmtId="166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0" fillId="3" fontId="1" numFmtId="0" xfId="0" applyAlignment="1" applyFont="1">
      <alignment horizontal="center" vertical="center"/>
    </xf>
    <xf borderId="0" fillId="3" fontId="1" numFmtId="165" xfId="0" applyAlignment="1" applyFont="1" applyNumberFormat="1">
      <alignment horizontal="center"/>
    </xf>
    <xf borderId="0" fillId="3" fontId="1" numFmtId="0" xfId="0" applyFont="1"/>
    <xf borderId="0" fillId="3" fontId="1" numFmtId="166" xfId="0" applyAlignment="1" applyFont="1" applyNumberFormat="1">
      <alignment horizontal="center"/>
    </xf>
    <xf borderId="0" fillId="3" fontId="1" numFmtId="0" xfId="0" applyAlignment="1" applyFont="1">
      <alignment horizont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-1.0</v>
      </c>
      <c r="B2" s="2">
        <v>0.0</v>
      </c>
      <c r="C2" s="1">
        <f t="shared" ref="C2:C9" si="2">(A2+B2)/2</f>
        <v>-0.5</v>
      </c>
      <c r="D2" s="1">
        <f t="shared" ref="D2:D9" si="3">B2-A2</f>
        <v>1</v>
      </c>
      <c r="E2" s="1">
        <f t="shared" ref="E2:G2" si="1">2*A2^3+3*A2^2-24*A2-10</f>
        <v>15</v>
      </c>
      <c r="F2" s="1">
        <f t="shared" si="1"/>
        <v>-10</v>
      </c>
      <c r="G2" s="1">
        <f t="shared" si="1"/>
        <v>2.5</v>
      </c>
    </row>
    <row r="3">
      <c r="A3" s="1">
        <f t="shared" ref="A3:A9" si="5">IF(E2*G2&lt;0,A2,C2)</f>
        <v>-0.5</v>
      </c>
      <c r="B3" s="1">
        <f t="shared" ref="B3:B9" si="6">IF(E2*G2&lt;0,C2,B2)</f>
        <v>0</v>
      </c>
      <c r="C3" s="1">
        <f t="shared" si="2"/>
        <v>-0.25</v>
      </c>
      <c r="D3" s="1">
        <f t="shared" si="3"/>
        <v>0.5</v>
      </c>
      <c r="E3" s="1">
        <f t="shared" ref="E3:G3" si="4">2*A3^3+3*A3^2-24*A3-10</f>
        <v>2.5</v>
      </c>
      <c r="F3" s="1">
        <f t="shared" si="4"/>
        <v>-10</v>
      </c>
      <c r="G3" s="1">
        <f t="shared" si="4"/>
        <v>-3.84375</v>
      </c>
    </row>
    <row r="4">
      <c r="A4" s="1">
        <f t="shared" si="5"/>
        <v>-0.5</v>
      </c>
      <c r="B4" s="1">
        <f t="shared" si="6"/>
        <v>-0.25</v>
      </c>
      <c r="C4" s="1">
        <f t="shared" si="2"/>
        <v>-0.375</v>
      </c>
      <c r="D4" s="1">
        <f t="shared" si="3"/>
        <v>0.25</v>
      </c>
      <c r="E4" s="1">
        <f t="shared" ref="E4:G4" si="7">2*A4^3+3*A4^2-24*A4-10</f>
        <v>2.5</v>
      </c>
      <c r="F4" s="1">
        <f t="shared" si="7"/>
        <v>-3.84375</v>
      </c>
      <c r="G4" s="1">
        <f t="shared" si="7"/>
        <v>-0.68359375</v>
      </c>
    </row>
    <row r="5">
      <c r="A5" s="1">
        <f t="shared" si="5"/>
        <v>-0.5</v>
      </c>
      <c r="B5" s="1">
        <f t="shared" si="6"/>
        <v>-0.375</v>
      </c>
      <c r="C5" s="1">
        <f t="shared" si="2"/>
        <v>-0.4375</v>
      </c>
      <c r="D5" s="1">
        <f t="shared" si="3"/>
        <v>0.125</v>
      </c>
      <c r="E5" s="1">
        <f t="shared" ref="E5:G5" si="8">2*A5^3+3*A5^2-24*A5-10</f>
        <v>2.5</v>
      </c>
      <c r="F5" s="1">
        <f t="shared" si="8"/>
        <v>-0.68359375</v>
      </c>
      <c r="G5" s="1">
        <f t="shared" si="8"/>
        <v>0.9067382813</v>
      </c>
    </row>
    <row r="6">
      <c r="A6" s="1">
        <f t="shared" si="5"/>
        <v>-0.4375</v>
      </c>
      <c r="B6" s="1">
        <f t="shared" si="6"/>
        <v>-0.375</v>
      </c>
      <c r="C6" s="1">
        <f t="shared" si="2"/>
        <v>-0.40625</v>
      </c>
      <c r="D6" s="1">
        <f t="shared" si="3"/>
        <v>0.0625</v>
      </c>
      <c r="E6" s="1">
        <f t="shared" ref="E6:G6" si="9">2*A6^3+3*A6^2-24*A6-10</f>
        <v>0.9067382813</v>
      </c>
      <c r="F6" s="1">
        <f t="shared" si="9"/>
        <v>-0.68359375</v>
      </c>
      <c r="G6" s="1">
        <f t="shared" si="9"/>
        <v>0.1110229492</v>
      </c>
    </row>
    <row r="7">
      <c r="A7" s="1">
        <f t="shared" si="5"/>
        <v>-0.40625</v>
      </c>
      <c r="B7" s="1">
        <f t="shared" si="6"/>
        <v>-0.375</v>
      </c>
      <c r="C7" s="1">
        <f t="shared" si="2"/>
        <v>-0.390625</v>
      </c>
      <c r="D7" s="1">
        <f t="shared" si="3"/>
        <v>0.03125</v>
      </c>
      <c r="E7" s="1">
        <f t="shared" ref="E7:G7" si="10">2*A7^3+3*A7^2-24*A7-10</f>
        <v>0.1110229492</v>
      </c>
      <c r="F7" s="1">
        <f t="shared" si="10"/>
        <v>-0.68359375</v>
      </c>
      <c r="G7" s="1">
        <f t="shared" si="10"/>
        <v>-0.2864456177</v>
      </c>
    </row>
    <row r="8">
      <c r="A8" s="1">
        <f t="shared" si="5"/>
        <v>-0.40625</v>
      </c>
      <c r="B8" s="1">
        <f t="shared" si="6"/>
        <v>-0.390625</v>
      </c>
      <c r="C8" s="1">
        <f t="shared" si="2"/>
        <v>-0.3984375</v>
      </c>
      <c r="D8" s="1">
        <f t="shared" si="3"/>
        <v>0.015625</v>
      </c>
      <c r="E8" s="1">
        <f t="shared" ref="E8:G8" si="11">2*A8^3+3*A8^2-24*A8-10</f>
        <v>0.1110229492</v>
      </c>
      <c r="F8" s="1">
        <f t="shared" si="11"/>
        <v>-0.2864456177</v>
      </c>
      <c r="G8" s="1">
        <f t="shared" si="11"/>
        <v>-0.08774852753</v>
      </c>
    </row>
    <row r="9">
      <c r="A9" s="1">
        <f t="shared" si="5"/>
        <v>-0.40625</v>
      </c>
      <c r="B9" s="1">
        <f t="shared" si="6"/>
        <v>-0.3984375</v>
      </c>
      <c r="C9" s="3">
        <f t="shared" si="2"/>
        <v>-0.40234375</v>
      </c>
      <c r="D9" s="1">
        <f t="shared" si="3"/>
        <v>0.0078125</v>
      </c>
      <c r="E9" s="1">
        <f t="shared" ref="E9:G9" si="12">2*A9^3+3*A9^2-24*A9-10</f>
        <v>0.1110229492</v>
      </c>
      <c r="F9" s="1">
        <f t="shared" si="12"/>
        <v>-0.08774852753</v>
      </c>
      <c r="G9" s="1">
        <f t="shared" si="12"/>
        <v>0.01162827015</v>
      </c>
    </row>
    <row r="10">
      <c r="A10" s="4"/>
      <c r="B10" s="4"/>
      <c r="C10" s="4"/>
      <c r="D10" s="4"/>
      <c r="E10" s="4"/>
      <c r="F10" s="4"/>
      <c r="G10" s="4"/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18.43"/>
    <col customWidth="1" min="4" max="5" width="8.71"/>
    <col customWidth="1" min="6" max="6" width="11.86"/>
    <col customWidth="1" min="7" max="26" width="8.71"/>
  </cols>
  <sheetData>
    <row r="1">
      <c r="A1" s="5" t="s">
        <v>7</v>
      </c>
      <c r="B1" s="6" t="s">
        <v>2</v>
      </c>
      <c r="C1" s="6" t="s">
        <v>8</v>
      </c>
      <c r="D1" s="6" t="s">
        <v>9</v>
      </c>
      <c r="E1" s="6" t="s">
        <v>10</v>
      </c>
    </row>
    <row r="2">
      <c r="A2" s="5">
        <v>0.0</v>
      </c>
      <c r="B2" s="7">
        <v>0.0</v>
      </c>
      <c r="C2" s="6"/>
      <c r="D2" s="7">
        <v>4.0</v>
      </c>
      <c r="E2" s="6"/>
      <c r="F2" s="8" t="s">
        <v>11</v>
      </c>
      <c r="G2" s="9" t="s">
        <v>12</v>
      </c>
      <c r="H2" s="10">
        <v>0.001</v>
      </c>
    </row>
    <row r="3">
      <c r="A3" s="5">
        <f t="shared" ref="A3:A7" si="1">A2+1</f>
        <v>1</v>
      </c>
      <c r="B3" s="11">
        <f t="shared" ref="B3:B7" si="2">B2-C3/$D$2</f>
        <v>-0.5</v>
      </c>
      <c r="C3" s="11">
        <f t="shared" ref="C3:C7" si="3">3*B2+COS(B2)+1</f>
        <v>2</v>
      </c>
      <c r="D3" s="6"/>
      <c r="E3" s="11">
        <f t="shared" ref="E3:E7" si="4">ABS(B3-B2)</f>
        <v>0.5</v>
      </c>
      <c r="F3" s="8" t="str">
        <f t="shared" ref="F3:F7" si="5">IF(AND(C3&lt;$H$2,E3&lt;$H$2)," выполнено","---")</f>
        <v>---</v>
      </c>
    </row>
    <row r="4">
      <c r="A4" s="5">
        <f t="shared" si="1"/>
        <v>2</v>
      </c>
      <c r="B4" s="11">
        <f t="shared" si="2"/>
        <v>-0.5943956405</v>
      </c>
      <c r="C4" s="11">
        <f t="shared" si="3"/>
        <v>0.3775825619</v>
      </c>
      <c r="D4" s="6"/>
      <c r="E4" s="11">
        <f t="shared" si="4"/>
        <v>0.09439564047</v>
      </c>
      <c r="F4" s="8" t="str">
        <f t="shared" si="5"/>
        <v>---</v>
      </c>
    </row>
    <row r="5">
      <c r="A5" s="5">
        <f t="shared" si="1"/>
        <v>3</v>
      </c>
      <c r="B5" s="12">
        <f t="shared" si="2"/>
        <v>-0.6057206842</v>
      </c>
      <c r="C5" s="11">
        <f t="shared" si="3"/>
        <v>0.04530017497</v>
      </c>
      <c r="D5" s="6"/>
      <c r="E5" s="13">
        <f t="shared" si="4"/>
        <v>0.01132504374</v>
      </c>
      <c r="F5" s="8" t="str">
        <f t="shared" si="5"/>
        <v>---</v>
      </c>
      <c r="H5" s="5" t="s">
        <v>2</v>
      </c>
      <c r="I5" s="11" t="s">
        <v>8</v>
      </c>
    </row>
    <row r="6">
      <c r="A6" s="5">
        <f t="shared" si="1"/>
        <v>4</v>
      </c>
      <c r="B6" s="12">
        <f t="shared" si="2"/>
        <v>-0.6069531676</v>
      </c>
      <c r="C6" s="11">
        <f t="shared" si="3"/>
        <v>0.004929933577</v>
      </c>
      <c r="D6" s="6"/>
      <c r="E6" s="13">
        <f t="shared" si="4"/>
        <v>0.001232483394</v>
      </c>
      <c r="F6" s="8" t="str">
        <f t="shared" si="5"/>
        <v>---</v>
      </c>
      <c r="H6" s="5">
        <v>-2.0</v>
      </c>
      <c r="I6" s="11">
        <f t="shared" ref="I6:I9" si="6">3*H6+COS(H6)+1</f>
        <v>-5.416146837</v>
      </c>
    </row>
    <row r="7">
      <c r="A7" s="5">
        <f t="shared" si="1"/>
        <v>5</v>
      </c>
      <c r="B7" s="14">
        <f t="shared" si="2"/>
        <v>-0.6070857024</v>
      </c>
      <c r="C7" s="11">
        <f t="shared" si="3"/>
        <v>0.0005301389826</v>
      </c>
      <c r="D7" s="6"/>
      <c r="E7" s="13">
        <f t="shared" si="4"/>
        <v>0.0001325347456</v>
      </c>
      <c r="F7" s="8" t="str">
        <f t="shared" si="5"/>
        <v> выполнено</v>
      </c>
      <c r="H7" s="5">
        <v>-1.0</v>
      </c>
      <c r="I7" s="11">
        <f t="shared" si="6"/>
        <v>-1.459697694</v>
      </c>
    </row>
    <row r="8">
      <c r="A8" s="15"/>
      <c r="B8" s="16"/>
      <c r="C8" s="16"/>
      <c r="D8" s="17"/>
      <c r="E8" s="18"/>
      <c r="F8" s="19"/>
      <c r="H8" s="20">
        <v>0.0</v>
      </c>
      <c r="I8" s="11">
        <f t="shared" si="6"/>
        <v>2</v>
      </c>
    </row>
    <row r="9">
      <c r="A9" s="15"/>
      <c r="B9" s="16"/>
      <c r="C9" s="16"/>
      <c r="D9" s="17"/>
      <c r="E9" s="18"/>
      <c r="F9" s="19"/>
      <c r="H9" s="21">
        <v>1.0</v>
      </c>
      <c r="I9" s="11">
        <f t="shared" si="6"/>
        <v>4.540302306</v>
      </c>
    </row>
    <row r="10">
      <c r="A10" s="15"/>
      <c r="B10" s="16"/>
      <c r="C10" s="16"/>
      <c r="D10" s="17"/>
      <c r="E10" s="18"/>
      <c r="F10" s="19"/>
    </row>
    <row r="11">
      <c r="A11" s="15"/>
      <c r="B11" s="16"/>
      <c r="C11" s="16"/>
      <c r="D11" s="17"/>
      <c r="E11" s="18"/>
      <c r="F11" s="19"/>
    </row>
    <row r="12">
      <c r="A12" s="15"/>
      <c r="B12" s="16"/>
      <c r="C12" s="16"/>
      <c r="D12" s="17"/>
      <c r="E12" s="18"/>
      <c r="F12" s="19"/>
    </row>
    <row r="13">
      <c r="A13" s="15"/>
      <c r="B13" s="16"/>
      <c r="C13" s="16"/>
      <c r="D13" s="17"/>
      <c r="E13" s="18"/>
      <c r="F13" s="19"/>
    </row>
    <row r="14">
      <c r="A14" s="15"/>
      <c r="B14" s="16"/>
      <c r="C14" s="16"/>
      <c r="D14" s="17"/>
      <c r="E14" s="18"/>
      <c r="F14" s="19"/>
    </row>
    <row r="15">
      <c r="A15" s="15"/>
      <c r="B15" s="16"/>
      <c r="C15" s="16"/>
      <c r="D15" s="17"/>
      <c r="E15" s="18"/>
      <c r="F15" s="19"/>
    </row>
    <row r="16">
      <c r="A16" s="15"/>
      <c r="B16" s="16"/>
      <c r="C16" s="16"/>
      <c r="D16" s="17"/>
      <c r="E16" s="18"/>
      <c r="F16" s="19"/>
    </row>
    <row r="17">
      <c r="A17" s="15"/>
      <c r="B17" s="16"/>
      <c r="C17" s="16"/>
      <c r="D17" s="17"/>
      <c r="E17" s="18"/>
      <c r="F17" s="19"/>
    </row>
    <row r="18">
      <c r="A18" s="15"/>
      <c r="B18" s="16"/>
      <c r="C18" s="16"/>
      <c r="D18" s="17"/>
      <c r="E18" s="18"/>
      <c r="F18" s="19"/>
    </row>
    <row r="19">
      <c r="A19" s="15"/>
      <c r="B19" s="16"/>
      <c r="C19" s="16"/>
      <c r="D19" s="17"/>
      <c r="E19" s="18"/>
      <c r="F19" s="19"/>
    </row>
    <row r="20">
      <c r="A20" s="15"/>
      <c r="B20" s="16"/>
      <c r="C20" s="16"/>
      <c r="D20" s="17"/>
      <c r="E20" s="18"/>
      <c r="F20" s="19"/>
    </row>
    <row r="21" ht="15.75" customHeight="1">
      <c r="A21" s="15"/>
      <c r="B21" s="16"/>
      <c r="C21" s="16"/>
      <c r="D21" s="17"/>
      <c r="E21" s="18"/>
      <c r="F21" s="19"/>
    </row>
    <row r="22" ht="15.75" customHeight="1">
      <c r="A22" s="15"/>
      <c r="B22" s="16"/>
      <c r="C22" s="16"/>
      <c r="D22" s="17"/>
      <c r="E22" s="18"/>
      <c r="F22" s="19"/>
    </row>
    <row r="23" ht="15.75" customHeight="1">
      <c r="A23" s="15"/>
      <c r="B23" s="16"/>
      <c r="C23" s="16"/>
      <c r="D23" s="17"/>
      <c r="E23" s="18"/>
      <c r="F23" s="19"/>
    </row>
    <row r="24" ht="15.75" customHeight="1">
      <c r="A24" s="15"/>
      <c r="B24" s="16"/>
      <c r="C24" s="16"/>
      <c r="D24" s="17"/>
      <c r="E24" s="18"/>
      <c r="F24" s="19"/>
    </row>
    <row r="25" ht="15.75" customHeight="1">
      <c r="A25" s="15"/>
      <c r="B25" s="16"/>
      <c r="C25" s="16"/>
      <c r="D25" s="17"/>
      <c r="E25" s="18"/>
      <c r="F25" s="19"/>
    </row>
    <row r="26" ht="15.75" customHeight="1">
      <c r="A26" s="15"/>
      <c r="B26" s="16"/>
      <c r="C26" s="16"/>
      <c r="D26" s="17"/>
      <c r="E26" s="18"/>
      <c r="F26" s="19"/>
    </row>
    <row r="27" ht="15.75" customHeight="1">
      <c r="A27" s="15"/>
      <c r="B27" s="16"/>
      <c r="C27" s="16"/>
      <c r="D27" s="17"/>
      <c r="E27" s="18"/>
      <c r="F27" s="19"/>
    </row>
    <row r="28" ht="15.75" customHeight="1">
      <c r="A28" s="15"/>
      <c r="B28" s="16"/>
      <c r="C28" s="16"/>
      <c r="D28" s="17"/>
      <c r="E28" s="18"/>
      <c r="F28" s="19"/>
    </row>
    <row r="29" ht="15.75" customHeight="1">
      <c r="A29" s="15"/>
      <c r="B29" s="16"/>
      <c r="C29" s="16"/>
      <c r="D29" s="17"/>
      <c r="E29" s="18"/>
      <c r="F29" s="19"/>
    </row>
    <row r="30" ht="15.75" customHeight="1">
      <c r="A30" s="15"/>
      <c r="B30" s="16"/>
      <c r="C30" s="16"/>
      <c r="D30" s="17"/>
      <c r="E30" s="18"/>
      <c r="F30" s="19"/>
    </row>
    <row r="31" ht="15.75" customHeight="1">
      <c r="A31" s="15"/>
      <c r="B31" s="16"/>
      <c r="C31" s="16"/>
      <c r="D31" s="17"/>
      <c r="E31" s="18"/>
      <c r="F31" s="19"/>
    </row>
    <row r="32" ht="15.75" customHeight="1">
      <c r="A32" s="15"/>
      <c r="B32" s="16"/>
      <c r="C32" s="16"/>
      <c r="D32" s="17"/>
      <c r="E32" s="18"/>
      <c r="F32" s="1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